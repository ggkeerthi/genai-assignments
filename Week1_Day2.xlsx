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keerthiganesan/Downloads/"/>
    </mc:Choice>
  </mc:AlternateContent>
  <xr:revisionPtr revIDLastSave="0" documentId="8_{37DC44E4-3ED9-D74E-9727-6567440B7286}" xr6:coauthVersionLast="47" xr6:coauthVersionMax="47" xr10:uidLastSave="{00000000-0000-0000-0000-000000000000}"/>
  <bookViews>
    <workbookView xWindow="0" yWindow="660" windowWidth="34560" windowHeight="19840" activeTab="3" xr2:uid="{00000000-000D-0000-FFFF-FFFF00000000}"/>
  </bookViews>
  <sheets>
    <sheet name="Multimodal Models Comparison" sheetId="1" r:id="rId1"/>
    <sheet name="Model_Input_Output_Context" sheetId="2" r:id="rId2"/>
    <sheet name="Groq_Model" sheetId="3" r:id="rId3"/>
    <sheet name="Token_Generator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4" l="1"/>
  <c r="H5" i="4"/>
  <c r="H4" i="4"/>
  <c r="H3" i="4"/>
  <c r="H2" i="4"/>
  <c r="D2" i="4"/>
  <c r="C2" i="4"/>
  <c r="B2" i="4"/>
  <c r="J3" i="4" l="1"/>
  <c r="I3" i="4"/>
  <c r="J6" i="4"/>
  <c r="I6" i="4"/>
  <c r="J5" i="4"/>
  <c r="I5" i="4"/>
  <c r="J4" i="4"/>
  <c r="I4" i="4"/>
  <c r="J2" i="4"/>
  <c r="I2" i="4"/>
</calcChain>
</file>

<file path=xl/sharedStrings.xml><?xml version="1.0" encoding="utf-8"?>
<sst xmlns="http://schemas.openxmlformats.org/spreadsheetml/2006/main" count="171" uniqueCount="108">
  <si>
    <t>Provider</t>
  </si>
  <si>
    <t>Model</t>
  </si>
  <si>
    <t>Input Cost ($/1M tokens)</t>
  </si>
  <si>
    <t>Output Cost ($/1M tokens)</t>
  </si>
  <si>
    <t>Context Window</t>
  </si>
  <si>
    <t>Modalities</t>
  </si>
  <si>
    <t>Best Use Case</t>
  </si>
  <si>
    <t>OpenAI</t>
  </si>
  <si>
    <t>GPT-4o</t>
  </si>
  <si>
    <t>128K</t>
  </si>
  <si>
    <t>Text, Image, Audio</t>
  </si>
  <si>
    <t>Voice assistants, real-time apps</t>
  </si>
  <si>
    <t>GPT-4.1</t>
  </si>
  <si>
    <t>1M</t>
  </si>
  <si>
    <t>Text, Image</t>
  </si>
  <si>
    <t>Long documents, agents</t>
  </si>
  <si>
    <t>GPT-4.1 mini</t>
  </si>
  <si>
    <t>Cost-effective production apps</t>
  </si>
  <si>
    <t>o3</t>
  </si>
  <si>
    <t>200K</t>
  </si>
  <si>
    <t>Reasoning, coding, math</t>
  </si>
  <si>
    <t>o4-mini</t>
  </si>
  <si>
    <t>Efficient reasoning tasks</t>
  </si>
  <si>
    <t>OpenRouter</t>
  </si>
  <si>
    <t>DeepSeek V3</t>
  </si>
  <si>
    <t>160K</t>
  </si>
  <si>
    <t>Low-cost automation</t>
  </si>
  <si>
    <t>Claude Sonnet</t>
  </si>
  <si>
    <t>Balanced reasoning + vision</t>
  </si>
  <si>
    <t>Gemini Pro</t>
  </si>
  <si>
    <t>Large document processing</t>
  </si>
  <si>
    <t>Grok</t>
  </si>
  <si>
    <t>2M</t>
  </si>
  <si>
    <t>Huge context processing</t>
  </si>
  <si>
    <t>Input $</t>
  </si>
  <si>
    <t>Output $</t>
  </si>
  <si>
    <t>Context</t>
  </si>
  <si>
    <t>Best for</t>
  </si>
  <si>
    <t>DeepSeek V3.2</t>
  </si>
  <si>
    <t>163K</t>
  </si>
  <si>
    <t>Best value</t>
  </si>
  <si>
    <t>MiniMax M2.1</t>
  </si>
  <si>
    <t>196K</t>
  </si>
  <si>
    <t>Cheap coding</t>
  </si>
  <si>
    <t>Gemini 3.1 Pro</t>
  </si>
  <si>
    <t>Long context</t>
  </si>
  <si>
    <t>Claude Sonnet 4.6</t>
  </si>
  <si>
    <t>Best overall</t>
  </si>
  <si>
    <t>GPT-5.2 Pro</t>
  </si>
  <si>
    <t>400K</t>
  </si>
  <si>
    <t>Premium reasoning</t>
  </si>
  <si>
    <t>Grok 4.1</t>
  </si>
  <si>
    <t>Largest context</t>
  </si>
  <si>
    <t>openrouter/free</t>
  </si>
  <si>
    <t>Free testing</t>
  </si>
  <si>
    <t>Category</t>
  </si>
  <si>
    <t>Model ID</t>
  </si>
  <si>
    <t>Type</t>
  </si>
  <si>
    <t>🖼️ Vision</t>
  </si>
  <si>
    <t>meta-llama/llama-4-scout-17b-16e-instruct</t>
  </si>
  <si>
    <t>Text + Image</t>
  </si>
  <si>
    <t>~131K</t>
  </si>
  <si>
    <t>Multimodal</t>
  </si>
  <si>
    <t>Image understanding, OCR</t>
  </si>
  <si>
    <t>(LLaMA 4 Maverick – variant)</t>
  </si>
  <si>
    <t>Visual reasoning</t>
  </si>
  <si>
    <t>qwen/qwen3-32b</t>
  </si>
  <si>
    <t>Text + Image (limited)</t>
  </si>
  <si>
    <t>~128K</t>
  </si>
  <si>
    <t>Docs + charts analysis</t>
  </si>
  <si>
    <t>🎤 Audio</t>
  </si>
  <si>
    <t>whisper-large-v3</t>
  </si>
  <si>
    <t>Audio → Text</t>
  </si>
  <si>
    <t>N/A</t>
  </si>
  <si>
    <t>Speech model</t>
  </si>
  <si>
    <t>Transcription</t>
  </si>
  <si>
    <t>whisper-large-v3-turbo</t>
  </si>
  <si>
    <t>Fast transcription</t>
  </si>
  <si>
    <t>🤖 Agent</t>
  </si>
  <si>
    <t>groq/compound</t>
  </si>
  <si>
    <t>Text + Tools</t>
  </si>
  <si>
    <t>Large</t>
  </si>
  <si>
    <t>Tool system</t>
  </si>
  <si>
    <t>Search + code + automation</t>
  </si>
  <si>
    <t>groq/compound-mini</t>
  </si>
  <si>
    <t>Lightweight agents</t>
  </si>
  <si>
    <t>🧠 Text</t>
  </si>
  <si>
    <t>openai/gpt-oss-120b</t>
  </si>
  <si>
    <t>Text</t>
  </si>
  <si>
    <t>LLM</t>
  </si>
  <si>
    <t>Reasoning + chat</t>
  </si>
  <si>
    <t>openai/gpt-oss-20b</t>
  </si>
  <si>
    <t>Medium</t>
  </si>
  <si>
    <t>Faster cheaper chat</t>
  </si>
  <si>
    <t>llama-3.3-70b-versatile</t>
  </si>
  <si>
    <t>General purpose</t>
  </si>
  <si>
    <t>llama-3.1-8b-instant</t>
  </si>
  <si>
    <t>Low latency</t>
  </si>
  <si>
    <t>Strong reasoning</t>
  </si>
  <si>
    <t>Text Length (characters)</t>
  </si>
  <si>
    <t>Est. Tokens (Eng)</t>
  </si>
  <si>
    <t>Est. Tokens (Code)</t>
  </si>
  <si>
    <t>Est. Tokens (Indic)</t>
  </si>
  <si>
    <t>Input $/1M</t>
  </si>
  <si>
    <t>Output $/1M</t>
  </si>
  <si>
    <t>Tokens Used</t>
  </si>
  <si>
    <t>Input Cost ($)</t>
  </si>
  <si>
    <t>Output Cost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</si>
</sst>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eerthiganesan/Downloads/advanced_token_cost_calculator.xlsx" TargetMode="External"/><Relationship Id="rId1" Type="http://schemas.openxmlformats.org/officeDocument/2006/relationships/externalLinkPath" Target="advanced_token_cost_calculat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lculator"/>
      <sheetName val="Model Comparison"/>
      <sheetName val="Summary"/>
    </sheetNames>
    <sheetDataSet>
      <sheetData sheetId="0">
        <row r="2">
          <cell r="B2">
            <v>250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>
      <selection activeCell="I37" sqref="I37"/>
    </sheetView>
  </sheetViews>
  <sheetFormatPr baseColWidth="10" defaultColWidth="8.83203125" defaultRowHeight="15" x14ac:dyDescent="0.2"/>
  <cols>
    <col min="1" max="1" width="10.33203125" bestFit="1" customWidth="1"/>
    <col min="2" max="2" width="12" bestFit="1" customWidth="1"/>
    <col min="3" max="3" width="20" bestFit="1" customWidth="1"/>
    <col min="4" max="4" width="21.5" bestFit="1" customWidth="1"/>
    <col min="5" max="5" width="14" bestFit="1" customWidth="1"/>
    <col min="6" max="6" width="15" bestFit="1" customWidth="1"/>
    <col min="7" max="7" width="24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>
        <v>2.5</v>
      </c>
      <c r="D2">
        <v>10</v>
      </c>
      <c r="E2" t="s">
        <v>9</v>
      </c>
      <c r="F2" t="s">
        <v>10</v>
      </c>
      <c r="G2" t="s">
        <v>11</v>
      </c>
    </row>
    <row r="3" spans="1:7" x14ac:dyDescent="0.2">
      <c r="A3" t="s">
        <v>7</v>
      </c>
      <c r="B3" t="s">
        <v>12</v>
      </c>
      <c r="C3">
        <v>2</v>
      </c>
      <c r="D3">
        <v>8</v>
      </c>
      <c r="E3" t="s">
        <v>13</v>
      </c>
      <c r="F3" t="s">
        <v>14</v>
      </c>
      <c r="G3" t="s">
        <v>15</v>
      </c>
    </row>
    <row r="4" spans="1:7" x14ac:dyDescent="0.2">
      <c r="A4" t="s">
        <v>7</v>
      </c>
      <c r="B4" t="s">
        <v>16</v>
      </c>
      <c r="C4">
        <v>0.4</v>
      </c>
      <c r="D4">
        <v>1.6</v>
      </c>
      <c r="E4" t="s">
        <v>13</v>
      </c>
      <c r="F4" t="s">
        <v>14</v>
      </c>
      <c r="G4" t="s">
        <v>17</v>
      </c>
    </row>
    <row r="5" spans="1:7" x14ac:dyDescent="0.2">
      <c r="A5" t="s">
        <v>7</v>
      </c>
      <c r="B5" t="s">
        <v>18</v>
      </c>
      <c r="C5">
        <v>2</v>
      </c>
      <c r="D5">
        <v>8</v>
      </c>
      <c r="E5" t="s">
        <v>19</v>
      </c>
      <c r="F5" t="s">
        <v>14</v>
      </c>
      <c r="G5" t="s">
        <v>20</v>
      </c>
    </row>
    <row r="6" spans="1:7" x14ac:dyDescent="0.2">
      <c r="A6" t="s">
        <v>7</v>
      </c>
      <c r="B6" t="s">
        <v>21</v>
      </c>
      <c r="C6">
        <v>1.1000000000000001</v>
      </c>
      <c r="D6">
        <v>4.4000000000000004</v>
      </c>
      <c r="E6" t="s">
        <v>19</v>
      </c>
      <c r="F6" t="s">
        <v>14</v>
      </c>
      <c r="G6" t="s">
        <v>22</v>
      </c>
    </row>
    <row r="7" spans="1:7" x14ac:dyDescent="0.2">
      <c r="A7" t="s">
        <v>23</v>
      </c>
      <c r="B7" t="s">
        <v>24</v>
      </c>
      <c r="C7">
        <v>0.25</v>
      </c>
      <c r="D7">
        <v>0.38</v>
      </c>
      <c r="E7" t="s">
        <v>25</v>
      </c>
      <c r="F7" t="s">
        <v>14</v>
      </c>
      <c r="G7" t="s">
        <v>26</v>
      </c>
    </row>
    <row r="8" spans="1:7" x14ac:dyDescent="0.2">
      <c r="A8" t="s">
        <v>23</v>
      </c>
      <c r="B8" t="s">
        <v>27</v>
      </c>
      <c r="C8">
        <v>3</v>
      </c>
      <c r="D8">
        <v>15</v>
      </c>
      <c r="E8" t="s">
        <v>13</v>
      </c>
      <c r="F8" t="s">
        <v>14</v>
      </c>
      <c r="G8" t="s">
        <v>28</v>
      </c>
    </row>
    <row r="9" spans="1:7" x14ac:dyDescent="0.2">
      <c r="A9" t="s">
        <v>23</v>
      </c>
      <c r="B9" t="s">
        <v>29</v>
      </c>
      <c r="C9">
        <v>2</v>
      </c>
      <c r="D9">
        <v>12</v>
      </c>
      <c r="E9" t="s">
        <v>13</v>
      </c>
      <c r="F9" t="s">
        <v>14</v>
      </c>
      <c r="G9" t="s">
        <v>30</v>
      </c>
    </row>
    <row r="10" spans="1:7" x14ac:dyDescent="0.2">
      <c r="A10" t="s">
        <v>23</v>
      </c>
      <c r="B10" t="s">
        <v>31</v>
      </c>
      <c r="C10">
        <v>0.2</v>
      </c>
      <c r="D10">
        <v>0.5</v>
      </c>
      <c r="E10" t="s">
        <v>32</v>
      </c>
      <c r="F10" t="s">
        <v>14</v>
      </c>
      <c r="G10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C71F8-E06F-F44B-A215-C0F4BF32FE2E}">
  <dimension ref="A1:E8"/>
  <sheetViews>
    <sheetView workbookViewId="0">
      <selection activeCell="E47" sqref="E47"/>
    </sheetView>
  </sheetViews>
  <sheetFormatPr baseColWidth="10" defaultRowHeight="15" x14ac:dyDescent="0.2"/>
  <cols>
    <col min="1" max="1" width="24.1640625" customWidth="1"/>
    <col min="2" max="2" width="16.33203125" customWidth="1"/>
    <col min="3" max="3" width="13.6640625" customWidth="1"/>
    <col min="4" max="4" width="26.5" customWidth="1"/>
    <col min="5" max="5" width="18.6640625" customWidth="1"/>
  </cols>
  <sheetData>
    <row r="1" spans="1:5" x14ac:dyDescent="0.2">
      <c r="A1" s="1" t="s">
        <v>1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x14ac:dyDescent="0.2">
      <c r="A2" t="s">
        <v>38</v>
      </c>
      <c r="B2">
        <v>0.25</v>
      </c>
      <c r="C2">
        <v>0.38</v>
      </c>
      <c r="D2" t="s">
        <v>39</v>
      </c>
      <c r="E2" t="s">
        <v>40</v>
      </c>
    </row>
    <row r="3" spans="1:5" x14ac:dyDescent="0.2">
      <c r="A3" t="s">
        <v>41</v>
      </c>
      <c r="B3">
        <v>0.28000000000000003</v>
      </c>
      <c r="C3">
        <v>1.2</v>
      </c>
      <c r="D3" t="s">
        <v>42</v>
      </c>
      <c r="E3" t="s">
        <v>43</v>
      </c>
    </row>
    <row r="4" spans="1:5" x14ac:dyDescent="0.2">
      <c r="A4" t="s">
        <v>44</v>
      </c>
      <c r="B4">
        <v>2</v>
      </c>
      <c r="C4">
        <v>12</v>
      </c>
      <c r="D4" t="s">
        <v>13</v>
      </c>
      <c r="E4" t="s">
        <v>45</v>
      </c>
    </row>
    <row r="5" spans="1:5" x14ac:dyDescent="0.2">
      <c r="A5" t="s">
        <v>46</v>
      </c>
      <c r="B5">
        <v>3</v>
      </c>
      <c r="C5">
        <v>15</v>
      </c>
      <c r="D5" t="s">
        <v>13</v>
      </c>
      <c r="E5" t="s">
        <v>47</v>
      </c>
    </row>
    <row r="6" spans="1:5" x14ac:dyDescent="0.2">
      <c r="A6" t="s">
        <v>48</v>
      </c>
      <c r="B6">
        <v>21</v>
      </c>
      <c r="C6">
        <v>168</v>
      </c>
      <c r="D6" t="s">
        <v>49</v>
      </c>
      <c r="E6" t="s">
        <v>50</v>
      </c>
    </row>
    <row r="7" spans="1:5" x14ac:dyDescent="0.2">
      <c r="A7" t="s">
        <v>51</v>
      </c>
      <c r="B7">
        <v>0.2</v>
      </c>
      <c r="C7">
        <v>0.5</v>
      </c>
      <c r="D7" t="s">
        <v>32</v>
      </c>
      <c r="E7" t="s">
        <v>52</v>
      </c>
    </row>
    <row r="8" spans="1:5" x14ac:dyDescent="0.2">
      <c r="A8" t="s">
        <v>53</v>
      </c>
      <c r="B8">
        <v>0</v>
      </c>
      <c r="C8">
        <v>0</v>
      </c>
      <c r="D8" t="s">
        <v>19</v>
      </c>
      <c r="E8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D7643-762C-0E45-95BC-9A06BC60B24E}">
  <dimension ref="A1:F13"/>
  <sheetViews>
    <sheetView workbookViewId="0">
      <selection activeCell="G45" sqref="G45"/>
    </sheetView>
  </sheetViews>
  <sheetFormatPr baseColWidth="10" defaultRowHeight="15" x14ac:dyDescent="0.2"/>
  <cols>
    <col min="1" max="1" width="8.5" bestFit="1" customWidth="1"/>
    <col min="2" max="2" width="34.6640625" bestFit="1" customWidth="1"/>
    <col min="3" max="3" width="17.33203125" bestFit="1" customWidth="1"/>
    <col min="4" max="4" width="7.5" bestFit="1" customWidth="1"/>
    <col min="5" max="5" width="11.6640625" bestFit="1" customWidth="1"/>
    <col min="6" max="6" width="22.1640625" bestFit="1" customWidth="1"/>
  </cols>
  <sheetData>
    <row r="1" spans="1:6" x14ac:dyDescent="0.2">
      <c r="A1" s="1" t="s">
        <v>55</v>
      </c>
      <c r="B1" s="1" t="s">
        <v>56</v>
      </c>
      <c r="C1" s="1" t="s">
        <v>5</v>
      </c>
      <c r="D1" s="1" t="s">
        <v>36</v>
      </c>
      <c r="E1" s="1" t="s">
        <v>57</v>
      </c>
      <c r="F1" s="1" t="s">
        <v>6</v>
      </c>
    </row>
    <row r="2" spans="1:6" x14ac:dyDescent="0.2">
      <c r="A2" t="s">
        <v>58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</row>
    <row r="3" spans="1:6" x14ac:dyDescent="0.2">
      <c r="A3" t="s">
        <v>58</v>
      </c>
      <c r="B3" t="s">
        <v>64</v>
      </c>
      <c r="C3" t="s">
        <v>60</v>
      </c>
      <c r="D3" t="s">
        <v>61</v>
      </c>
      <c r="E3" t="s">
        <v>62</v>
      </c>
      <c r="F3" t="s">
        <v>65</v>
      </c>
    </row>
    <row r="4" spans="1:6" x14ac:dyDescent="0.2">
      <c r="A4" t="s">
        <v>58</v>
      </c>
      <c r="B4" t="s">
        <v>66</v>
      </c>
      <c r="C4" t="s">
        <v>67</v>
      </c>
      <c r="D4" t="s">
        <v>68</v>
      </c>
      <c r="E4" t="s">
        <v>62</v>
      </c>
      <c r="F4" t="s">
        <v>69</v>
      </c>
    </row>
    <row r="5" spans="1:6" x14ac:dyDescent="0.2">
      <c r="A5" t="s">
        <v>70</v>
      </c>
      <c r="B5" t="s">
        <v>71</v>
      </c>
      <c r="C5" t="s">
        <v>72</v>
      </c>
      <c r="D5" t="s">
        <v>73</v>
      </c>
      <c r="E5" t="s">
        <v>74</v>
      </c>
      <c r="F5" t="s">
        <v>75</v>
      </c>
    </row>
    <row r="6" spans="1:6" x14ac:dyDescent="0.2">
      <c r="A6" t="s">
        <v>70</v>
      </c>
      <c r="B6" t="s">
        <v>76</v>
      </c>
      <c r="C6" t="s">
        <v>72</v>
      </c>
      <c r="D6" t="s">
        <v>73</v>
      </c>
      <c r="E6" t="s">
        <v>74</v>
      </c>
      <c r="F6" t="s">
        <v>77</v>
      </c>
    </row>
    <row r="7" spans="1:6" x14ac:dyDescent="0.2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</row>
    <row r="8" spans="1:6" x14ac:dyDescent="0.2">
      <c r="A8" t="s">
        <v>78</v>
      </c>
      <c r="B8" t="s">
        <v>84</v>
      </c>
      <c r="C8" t="s">
        <v>80</v>
      </c>
      <c r="D8" t="s">
        <v>81</v>
      </c>
      <c r="E8" t="s">
        <v>82</v>
      </c>
      <c r="F8" t="s">
        <v>85</v>
      </c>
    </row>
    <row r="9" spans="1:6" x14ac:dyDescent="0.2">
      <c r="A9" t="s">
        <v>86</v>
      </c>
      <c r="B9" t="s">
        <v>87</v>
      </c>
      <c r="C9" t="s">
        <v>88</v>
      </c>
      <c r="D9" t="s">
        <v>81</v>
      </c>
      <c r="E9" t="s">
        <v>89</v>
      </c>
      <c r="F9" t="s">
        <v>90</v>
      </c>
    </row>
    <row r="10" spans="1:6" x14ac:dyDescent="0.2">
      <c r="A10" t="s">
        <v>86</v>
      </c>
      <c r="B10" t="s">
        <v>91</v>
      </c>
      <c r="C10" t="s">
        <v>88</v>
      </c>
      <c r="D10" t="s">
        <v>92</v>
      </c>
      <c r="E10" t="s">
        <v>89</v>
      </c>
      <c r="F10" t="s">
        <v>93</v>
      </c>
    </row>
    <row r="11" spans="1:6" x14ac:dyDescent="0.2">
      <c r="A11" t="s">
        <v>86</v>
      </c>
      <c r="B11" t="s">
        <v>94</v>
      </c>
      <c r="C11" t="s">
        <v>88</v>
      </c>
      <c r="D11" t="s">
        <v>81</v>
      </c>
      <c r="E11" t="s">
        <v>89</v>
      </c>
      <c r="F11" t="s">
        <v>95</v>
      </c>
    </row>
    <row r="12" spans="1:6" x14ac:dyDescent="0.2">
      <c r="A12" t="s">
        <v>86</v>
      </c>
      <c r="B12" t="s">
        <v>96</v>
      </c>
      <c r="C12" t="s">
        <v>88</v>
      </c>
      <c r="D12" t="s">
        <v>92</v>
      </c>
      <c r="E12" t="s">
        <v>89</v>
      </c>
      <c r="F12" t="s">
        <v>97</v>
      </c>
    </row>
    <row r="13" spans="1:6" x14ac:dyDescent="0.2">
      <c r="A13" t="s">
        <v>86</v>
      </c>
      <c r="B13" t="s">
        <v>66</v>
      </c>
      <c r="C13" t="s">
        <v>88</v>
      </c>
      <c r="D13" t="s">
        <v>81</v>
      </c>
      <c r="E13" t="s">
        <v>89</v>
      </c>
      <c r="F13" t="s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4A608-10F0-0B42-BD00-B0D415EC4AFE}">
  <dimension ref="A1:J6"/>
  <sheetViews>
    <sheetView tabSelected="1" workbookViewId="0">
      <selection activeCell="J18" sqref="J18"/>
    </sheetView>
  </sheetViews>
  <sheetFormatPr baseColWidth="10" defaultRowHeight="15" x14ac:dyDescent="0.2"/>
  <cols>
    <col min="1" max="3" width="8.83203125"/>
    <col min="4" max="4" width="14" customWidth="1"/>
    <col min="5" max="5" width="12" bestFit="1" customWidth="1"/>
    <col min="6" max="6" width="9.83203125" bestFit="1" customWidth="1"/>
    <col min="7" max="7" width="11.1640625" bestFit="1" customWidth="1"/>
    <col min="8" max="8" width="10.33203125" bestFit="1" customWidth="1"/>
    <col min="9" max="9" width="11.33203125" bestFit="1" customWidth="1"/>
    <col min="10" max="10" width="12.6640625" bestFit="1" customWidth="1"/>
  </cols>
  <sheetData>
    <row r="1" spans="1:10" x14ac:dyDescent="0.2">
      <c r="A1" t="s">
        <v>99</v>
      </c>
      <c r="B1" t="s">
        <v>100</v>
      </c>
      <c r="C1" t="s">
        <v>101</v>
      </c>
      <c r="D1" t="s">
        <v>102</v>
      </c>
      <c r="E1" t="s">
        <v>1</v>
      </c>
      <c r="F1" t="s">
        <v>103</v>
      </c>
      <c r="G1" t="s">
        <v>104</v>
      </c>
      <c r="H1" t="s">
        <v>105</v>
      </c>
      <c r="I1" t="s">
        <v>106</v>
      </c>
      <c r="J1" t="s">
        <v>107</v>
      </c>
    </row>
    <row r="2" spans="1:10" x14ac:dyDescent="0.2">
      <c r="A2">
        <v>1000</v>
      </c>
      <c r="B2">
        <f>A2/4</f>
        <v>250</v>
      </c>
      <c r="C2">
        <f>A2/3</f>
        <v>333.33333333333331</v>
      </c>
      <c r="D2">
        <f>A2/2</f>
        <v>500</v>
      </c>
      <c r="E2" t="s">
        <v>16</v>
      </c>
      <c r="F2">
        <v>0.4</v>
      </c>
      <c r="G2">
        <v>1.6</v>
      </c>
      <c r="H2">
        <f>[1]Calculator!B2</f>
        <v>250</v>
      </c>
      <c r="I2">
        <f>H2/1000000*F2</f>
        <v>1E-4</v>
      </c>
      <c r="J2">
        <f>H2/1000000*G2</f>
        <v>4.0000000000000002E-4</v>
      </c>
    </row>
    <row r="3" spans="1:10" x14ac:dyDescent="0.2">
      <c r="E3" t="s">
        <v>8</v>
      </c>
      <c r="F3">
        <v>2.5</v>
      </c>
      <c r="G3">
        <v>10</v>
      </c>
      <c r="H3">
        <f>[1]Calculator!B2</f>
        <v>250</v>
      </c>
      <c r="I3">
        <f>H3/1000000*F3</f>
        <v>6.2500000000000001E-4</v>
      </c>
      <c r="J3">
        <f>H3/1000000*G3</f>
        <v>2.5000000000000001E-3</v>
      </c>
    </row>
    <row r="4" spans="1:10" x14ac:dyDescent="0.2">
      <c r="E4" t="s">
        <v>24</v>
      </c>
      <c r="F4">
        <v>0.25</v>
      </c>
      <c r="G4">
        <v>0.38</v>
      </c>
      <c r="H4">
        <f>[1]Calculator!B2</f>
        <v>250</v>
      </c>
      <c r="I4">
        <f>H4/1000000*F4</f>
        <v>6.2500000000000001E-5</v>
      </c>
      <c r="J4">
        <f>H4/1000000*G4</f>
        <v>9.5000000000000005E-5</v>
      </c>
    </row>
    <row r="5" spans="1:10" x14ac:dyDescent="0.2">
      <c r="E5" t="s">
        <v>27</v>
      </c>
      <c r="F5">
        <v>3</v>
      </c>
      <c r="G5">
        <v>15</v>
      </c>
      <c r="H5">
        <f>[1]Calculator!B2</f>
        <v>250</v>
      </c>
      <c r="I5">
        <f>H5/1000000*F5</f>
        <v>7.5000000000000002E-4</v>
      </c>
      <c r="J5">
        <f>H5/1000000*G5</f>
        <v>3.7499999999999999E-3</v>
      </c>
    </row>
    <row r="6" spans="1:10" x14ac:dyDescent="0.2">
      <c r="E6" t="s">
        <v>29</v>
      </c>
      <c r="F6">
        <v>2</v>
      </c>
      <c r="G6">
        <v>12</v>
      </c>
      <c r="H6">
        <f>[1]Calculator!B2</f>
        <v>250</v>
      </c>
      <c r="I6">
        <f>H6/1000000*F6</f>
        <v>5.0000000000000001E-4</v>
      </c>
      <c r="J6">
        <f>H6/1000000*G6</f>
        <v>3.0000000000000001E-3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ca0b373-e9b1-4578-8e53-53d6aaa79771}" enabled="1" method="Standard" siteId="{f9465cb1-7889-4d9a-b552-fdd0addf0eb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Multimodal Models Comparison</vt:lpstr>
      <vt:lpstr>Model_Input_Output_Context</vt:lpstr>
      <vt:lpstr>Groq_Model</vt:lpstr>
      <vt:lpstr>Token_Generator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Keerthi Ganesan</cp:lastModifiedBy>
  <dcterms:created xsi:type="dcterms:W3CDTF">2026-03-29T07:20:18Z</dcterms:created>
  <dcterms:modified xsi:type="dcterms:W3CDTF">2026-03-29T08:55:11Z</dcterms:modified>
</cp:coreProperties>
</file>